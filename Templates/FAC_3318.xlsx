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3040" windowHeight="9264"/>
  </bookViews>
  <sheets>
    <sheet name="3257" sheetId="1" r:id="rId1"/>
  </sheets>
  <definedNames>
    <definedName name="_xlnm.Print_Area" localSheetId="0">'3257'!$A$1:$H$37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1" l="1"/>
  <c r="C22" i="1"/>
  <c r="C21" i="1"/>
  <c r="F16" i="1" l="1"/>
  <c r="F18" i="1" l="1"/>
</calcChain>
</file>

<file path=xl/sharedStrings.xml><?xml version="1.0" encoding="utf-8"?>
<sst xmlns="http://schemas.openxmlformats.org/spreadsheetml/2006/main" count="36" uniqueCount="36">
  <si>
    <t xml:space="preserve">     Générale confection</t>
  </si>
  <si>
    <t xml:space="preserve">       Route de gremda km 7,5 cité énnasr Sfax Tunisie</t>
  </si>
  <si>
    <t xml:space="preserve">     Tél : 00216 31 127 444 Fax: 00216 74 657004</t>
  </si>
  <si>
    <t xml:space="preserve">      E-Mail : gc@tunet.tn                              </t>
  </si>
  <si>
    <t>ADRESSE DE LIVRAISON :</t>
  </si>
  <si>
    <t xml:space="preserve">S.A.S ELORA </t>
  </si>
  <si>
    <t xml:space="preserve">Nom du Client:  LK GROUP
</t>
  </si>
  <si>
    <t>ZONE INDUSTRIELLE DE L'EST CS10041                                                3 Rue de l'industrie                 49280 LA SEGUINIERE - FRANCE</t>
  </si>
  <si>
    <t xml:space="preserve">Adresse du Client:  10 RUE DU MIDI                       
94300 VINCENNES                                           France    
</t>
  </si>
  <si>
    <t>MODELE</t>
  </si>
  <si>
    <t>Composition</t>
  </si>
  <si>
    <t>Quantité</t>
  </si>
  <si>
    <t>Prix Unitaire Façon</t>
  </si>
  <si>
    <t>Prix Total Façon</t>
  </si>
  <si>
    <t>Total Facture en Euros</t>
  </si>
  <si>
    <t xml:space="preserve">Net a payer </t>
  </si>
  <si>
    <t xml:space="preserve">Nombre de Colis </t>
  </si>
  <si>
    <t>Poids Net en Kg</t>
  </si>
  <si>
    <t>Poids Brut en Kg</t>
  </si>
  <si>
    <r>
      <t>Volume en m</t>
    </r>
    <r>
      <rPr>
        <b/>
        <vertAlign val="superscript"/>
        <sz val="10"/>
        <rFont val="Arial"/>
        <family val="2"/>
      </rPr>
      <t>3</t>
    </r>
  </si>
  <si>
    <t>Mode de Payement</t>
  </si>
  <si>
    <t xml:space="preserve">VIREMENT BANCAIRE </t>
  </si>
  <si>
    <t>Mode de Livraison</t>
  </si>
  <si>
    <t>DAP</t>
  </si>
  <si>
    <t>Cachet du Fournisseur</t>
  </si>
  <si>
    <t xml:space="preserve">           </t>
  </si>
  <si>
    <t xml:space="preserve"> </t>
  </si>
  <si>
    <t>C.D : 820 462G - R.C : B255709 2005 - M.F : J635708/A/M/000</t>
  </si>
  <si>
    <t>Date: 16/07/2026</t>
  </si>
  <si>
    <t>FACTURE N° 3318</t>
  </si>
  <si>
    <t>100% VISCOSE</t>
  </si>
  <si>
    <t xml:space="preserve"> Arrêtée la présente facture à la somme de :  VINGT SIX MILLE QUARENTE EURO  </t>
  </si>
  <si>
    <t>RIB:11014000142000178833</t>
  </si>
  <si>
    <t>IBAN:TN59 11014000142000178833</t>
  </si>
  <si>
    <t xml:space="preserve"> CHEMISE ROSACE  CDE 0003278XC</t>
  </si>
  <si>
    <t>TISSU ORIGINE CEE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</si>
</sst>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\ &quot;€&quot;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20"/>
      <color indexed="12"/>
      <name val="Arial"/>
      <family val="2"/>
    </font>
    <font>
      <b/>
      <i/>
      <sz val="20"/>
      <name val="Arial"/>
      <family val="2"/>
    </font>
    <font>
      <sz val="10"/>
      <name val="Arial"/>
      <family val="2"/>
    </font>
    <font>
      <b/>
      <i/>
      <sz val="10"/>
      <color indexed="12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b/>
      <sz val="13"/>
      <name val="Arial"/>
      <family val="2"/>
    </font>
    <font>
      <b/>
      <sz val="8"/>
      <name val="Arial"/>
      <family val="2"/>
    </font>
    <font>
      <b/>
      <vertAlign val="superscript"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2"/>
      <color indexed="12"/>
      <name val="Courier"/>
      <family val="3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0" fontId="2" fillId="0" borderId="0" xfId="1" applyFont="1" applyAlignment="1">
      <alignment horizontal="left"/>
    </xf>
    <xf numFmtId="0" fontId="3" fillId="0" borderId="0" xfId="1" applyFont="1"/>
    <xf numFmtId="0" fontId="4" fillId="0" borderId="0" xfId="1" applyFont="1"/>
    <xf numFmtId="0" fontId="1" fillId="0" borderId="0" xfId="1"/>
    <xf numFmtId="0" fontId="2" fillId="0" borderId="1" xfId="1" applyFont="1" applyBorder="1" applyAlignment="1">
      <alignment horizontal="left"/>
    </xf>
    <xf numFmtId="0" fontId="3" fillId="0" borderId="1" xfId="1" applyFont="1" applyBorder="1"/>
    <xf numFmtId="0" fontId="4" fillId="0" borderId="1" xfId="1" applyFont="1" applyBorder="1"/>
    <xf numFmtId="0" fontId="5" fillId="0" borderId="2" xfId="1" applyFont="1" applyBorder="1" applyAlignment="1">
      <alignment horizontal="left"/>
    </xf>
    <xf numFmtId="0" fontId="5" fillId="0" borderId="0" xfId="1" applyFont="1"/>
    <xf numFmtId="0" fontId="6" fillId="0" borderId="0" xfId="1" applyFont="1"/>
    <xf numFmtId="0" fontId="5" fillId="0" borderId="0" xfId="1" applyFont="1" applyAlignment="1">
      <alignment horizontal="left"/>
    </xf>
    <xf numFmtId="0" fontId="7" fillId="0" borderId="0" xfId="1" applyFont="1"/>
    <xf numFmtId="0" fontId="6" fillId="0" borderId="3" xfId="1" applyFont="1" applyBorder="1" applyAlignment="1">
      <alignment horizontal="left"/>
    </xf>
    <xf numFmtId="0" fontId="6" fillId="0" borderId="4" xfId="1" applyFont="1" applyBorder="1" applyAlignment="1">
      <alignment horizontal="left"/>
    </xf>
    <xf numFmtId="0" fontId="8" fillId="0" borderId="3" xfId="1" applyFont="1" applyBorder="1" applyAlignment="1">
      <alignment horizontal="centerContinuous" vertical="top" wrapText="1"/>
    </xf>
    <xf numFmtId="0" fontId="8" fillId="0" borderId="5" xfId="1" applyFont="1" applyBorder="1" applyAlignment="1">
      <alignment horizontal="centerContinuous" vertical="top" wrapText="1"/>
    </xf>
    <xf numFmtId="0" fontId="8" fillId="0" borderId="4" xfId="1" applyFont="1" applyBorder="1" applyAlignment="1">
      <alignment horizontal="centerContinuous" vertical="top" wrapText="1"/>
    </xf>
    <xf numFmtId="0" fontId="4" fillId="0" borderId="0" xfId="1" applyFont="1" applyAlignment="1">
      <alignment horizontal="left"/>
    </xf>
    <xf numFmtId="0" fontId="8" fillId="0" borderId="0" xfId="1" applyFont="1" applyAlignment="1">
      <alignment horizontal="left" vertical="center" wrapText="1"/>
    </xf>
    <xf numFmtId="0" fontId="9" fillId="0" borderId="0" xfId="1" applyFont="1" applyAlignment="1">
      <alignment horizontal="centerContinuous"/>
    </xf>
    <xf numFmtId="0" fontId="10" fillId="0" borderId="0" xfId="1" applyFont="1" applyAlignment="1">
      <alignment horizont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Continuous"/>
    </xf>
    <xf numFmtId="0" fontId="6" fillId="0" borderId="14" xfId="1" applyFont="1" applyBorder="1" applyAlignment="1">
      <alignment horizontal="centerContinuous"/>
    </xf>
    <xf numFmtId="0" fontId="6" fillId="0" borderId="15" xfId="1" applyFont="1" applyBorder="1" applyAlignment="1">
      <alignment horizontal="centerContinuous"/>
    </xf>
    <xf numFmtId="0" fontId="6" fillId="0" borderId="12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/>
    </xf>
    <xf numFmtId="0" fontId="6" fillId="0" borderId="13" xfId="1" applyFont="1" applyBorder="1" applyAlignment="1">
      <alignment horizontal="left"/>
    </xf>
    <xf numFmtId="0" fontId="6" fillId="0" borderId="15" xfId="1" applyFont="1" applyBorder="1" applyAlignment="1">
      <alignment horizontal="left"/>
    </xf>
    <xf numFmtId="0" fontId="6" fillId="0" borderId="14" xfId="1" applyFont="1" applyBorder="1" applyAlignment="1">
      <alignment horizontal="left"/>
    </xf>
    <xf numFmtId="0" fontId="6" fillId="0" borderId="0" xfId="1" applyFont="1" applyAlignment="1">
      <alignment horizontal="left"/>
    </xf>
    <xf numFmtId="164" fontId="6" fillId="0" borderId="0" xfId="1" applyNumberFormat="1" applyFont="1" applyAlignment="1">
      <alignment horizontal="center"/>
    </xf>
    <xf numFmtId="0" fontId="6" fillId="0" borderId="12" xfId="1" applyFont="1" applyBorder="1" applyAlignment="1">
      <alignment horizontal="left"/>
    </xf>
    <xf numFmtId="0" fontId="6" fillId="0" borderId="0" xfId="1" applyFont="1" applyAlignment="1">
      <alignment horizontal="center"/>
    </xf>
    <xf numFmtId="0" fontId="13" fillId="0" borderId="0" xfId="1" applyFont="1" applyAlignment="1">
      <alignment horizontal="center"/>
    </xf>
    <xf numFmtId="0" fontId="6" fillId="0" borderId="16" xfId="1" applyFont="1" applyBorder="1" applyAlignment="1">
      <alignment horizontal="center" vertical="center"/>
    </xf>
    <xf numFmtId="0" fontId="6" fillId="0" borderId="17" xfId="1" applyFont="1" applyBorder="1" applyAlignment="1">
      <alignment horizontal="centerContinuous" vertical="center"/>
    </xf>
    <xf numFmtId="0" fontId="14" fillId="0" borderId="12" xfId="1" applyFont="1" applyBorder="1" applyAlignment="1">
      <alignment horizontal="centerContinuous" vertical="center" wrapText="1"/>
    </xf>
    <xf numFmtId="0" fontId="6" fillId="0" borderId="18" xfId="1" applyFont="1" applyBorder="1" applyAlignment="1">
      <alignment horizontal="centerContinuous" vertical="center"/>
    </xf>
    <xf numFmtId="0" fontId="6" fillId="0" borderId="12" xfId="1" applyFont="1" applyBorder="1" applyAlignment="1">
      <alignment horizontal="center" vertical="center"/>
    </xf>
    <xf numFmtId="0" fontId="6" fillId="0" borderId="19" xfId="1" applyFont="1" applyBorder="1" applyAlignment="1">
      <alignment horizontal="centerContinuous"/>
    </xf>
    <xf numFmtId="0" fontId="16" fillId="0" borderId="20" xfId="1" applyFont="1" applyBorder="1" applyAlignment="1">
      <alignment horizontal="centerContinuous"/>
    </xf>
    <xf numFmtId="0" fontId="6" fillId="0" borderId="20" xfId="1" applyFont="1" applyBorder="1" applyAlignment="1">
      <alignment horizontal="centerContinuous"/>
    </xf>
    <xf numFmtId="0" fontId="6" fillId="0" borderId="6" xfId="1" applyFont="1" applyBorder="1" applyAlignment="1">
      <alignment wrapText="1"/>
    </xf>
    <xf numFmtId="0" fontId="6" fillId="0" borderId="7" xfId="1" applyFont="1" applyBorder="1" applyAlignment="1">
      <alignment wrapText="1"/>
    </xf>
    <xf numFmtId="0" fontId="6" fillId="0" borderId="10" xfId="1" applyFont="1" applyBorder="1" applyAlignment="1">
      <alignment wrapText="1"/>
    </xf>
    <xf numFmtId="0" fontId="6" fillId="0" borderId="11" xfId="1" applyFont="1" applyBorder="1" applyAlignment="1">
      <alignment wrapText="1"/>
    </xf>
    <xf numFmtId="0" fontId="8" fillId="0" borderId="8" xfId="1" applyFont="1" applyBorder="1" applyAlignment="1">
      <alignment horizontal="left" vertical="center" wrapText="1"/>
    </xf>
    <xf numFmtId="0" fontId="8" fillId="0" borderId="2" xfId="1" applyFont="1" applyBorder="1" applyAlignment="1">
      <alignment horizontal="left" vertical="center" wrapText="1"/>
    </xf>
    <xf numFmtId="0" fontId="8" fillId="0" borderId="9" xfId="1" applyFont="1" applyBorder="1" applyAlignment="1">
      <alignment horizontal="left" vertical="center" wrapText="1"/>
    </xf>
    <xf numFmtId="0" fontId="8" fillId="0" borderId="10" xfId="1" applyFont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 wrapText="1"/>
    </xf>
    <xf numFmtId="164" fontId="6" fillId="0" borderId="12" xfId="1" applyNumberFormat="1" applyFont="1" applyBorder="1" applyAlignment="1">
      <alignment horizontal="center" vertical="center"/>
    </xf>
    <xf numFmtId="0" fontId="17" fillId="0" borderId="0" xfId="1" applyFont="1" applyAlignment="1">
      <alignment horizontal="right" vertical="center"/>
    </xf>
    <xf numFmtId="164" fontId="6" fillId="0" borderId="13" xfId="1" applyNumberFormat="1" applyFont="1" applyBorder="1" applyAlignment="1">
      <alignment horizontal="center"/>
    </xf>
    <xf numFmtId="164" fontId="6" fillId="0" borderId="15" xfId="1" applyNumberFormat="1" applyFont="1" applyBorder="1" applyAlignment="1">
      <alignment horizontal="center"/>
    </xf>
    <xf numFmtId="164" fontId="6" fillId="0" borderId="14" xfId="1" applyNumberFormat="1" applyFont="1" applyBorder="1" applyAlignment="1">
      <alignment horizontal="center"/>
    </xf>
    <xf numFmtId="0" fontId="6" fillId="0" borderId="12" xfId="1" applyFont="1" applyBorder="1" applyAlignment="1">
      <alignment horizontal="center"/>
    </xf>
    <xf numFmtId="0" fontId="1" fillId="0" borderId="12" xfId="1" applyBorder="1" applyAlignment="1">
      <alignment horizontal="center"/>
    </xf>
    <xf numFmtId="165" fontId="6" fillId="0" borderId="12" xfId="1" applyNumberFormat="1" applyFont="1" applyBorder="1" applyAlignment="1">
      <alignment horizontal="center"/>
    </xf>
    <xf numFmtId="0" fontId="14" fillId="0" borderId="13" xfId="1" applyFont="1" applyBorder="1" applyAlignment="1">
      <alignment horizontal="center" vertical="center" wrapText="1"/>
    </xf>
    <xf numFmtId="0" fontId="14" fillId="0" borderId="15" xfId="1" applyFont="1" applyBorder="1" applyAlignment="1">
      <alignment horizontal="center" vertical="center" wrapText="1"/>
    </xf>
    <xf numFmtId="0" fontId="14" fillId="0" borderId="14" xfId="1" applyFont="1" applyBorder="1" applyAlignment="1">
      <alignment horizontal="center" vertical="center" wrapText="1"/>
    </xf>
    <xf numFmtId="0" fontId="15" fillId="0" borderId="13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15" fillId="0" borderId="14" xfId="1" applyFont="1" applyBorder="1" applyAlignment="1">
      <alignment horizontal="center" vertical="center"/>
    </xf>
    <xf numFmtId="0" fontId="6" fillId="0" borderId="13" xfId="1" applyFont="1" applyBorder="1" applyAlignment="1">
      <alignment wrapText="1"/>
    </xf>
    <xf numFmtId="0" fontId="6" fillId="0" borderId="15" xfId="1" applyFont="1" applyBorder="1" applyAlignment="1">
      <alignment wrapText="1"/>
    </xf>
    <xf numFmtId="0" fontId="6" fillId="0" borderId="14" xfId="1" applyFont="1" applyBorder="1" applyAlignment="1">
      <alignment wrapText="1"/>
    </xf>
    <xf numFmtId="0" fontId="16" fillId="0" borderId="19" xfId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247650</xdr:colOff>
      <xdr:row>0</xdr:row>
      <xdr:rowOff>28575</xdr:rowOff>
    </xdr:from>
    <xdr:ext cx="3048000" cy="666750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28575"/>
          <a:ext cx="30480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247650</xdr:colOff>
      <xdr:row>0</xdr:row>
      <xdr:rowOff>28575</xdr:rowOff>
    </xdr:from>
    <xdr:ext cx="3048000" cy="666750"/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28575"/>
          <a:ext cx="30480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247650</xdr:colOff>
      <xdr:row>0</xdr:row>
      <xdr:rowOff>28575</xdr:rowOff>
    </xdr:from>
    <xdr:ext cx="3048000" cy="666750"/>
    <xdr:pic>
      <xdr:nvPicPr>
        <xdr:cNvPr id="4" name="Picture 1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28575"/>
          <a:ext cx="30480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247650</xdr:colOff>
      <xdr:row>0</xdr:row>
      <xdr:rowOff>28575</xdr:rowOff>
    </xdr:from>
    <xdr:ext cx="3048000" cy="666750"/>
    <xdr:pic>
      <xdr:nvPicPr>
        <xdr:cNvPr id="5" name="Picture 1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28575"/>
          <a:ext cx="30480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247650</xdr:colOff>
      <xdr:row>0</xdr:row>
      <xdr:rowOff>28575</xdr:rowOff>
    </xdr:from>
    <xdr:ext cx="3048000" cy="666750"/>
    <xdr:pic>
      <xdr:nvPicPr>
        <xdr:cNvPr id="6" name="Picture 1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28575"/>
          <a:ext cx="30480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247650</xdr:colOff>
      <xdr:row>0</xdr:row>
      <xdr:rowOff>28575</xdr:rowOff>
    </xdr:from>
    <xdr:ext cx="3048000" cy="666750"/>
    <xdr:pic>
      <xdr:nvPicPr>
        <xdr:cNvPr id="7" name="Picture 1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28575"/>
          <a:ext cx="30480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247650</xdr:colOff>
      <xdr:row>0</xdr:row>
      <xdr:rowOff>28575</xdr:rowOff>
    </xdr:from>
    <xdr:ext cx="3048000" cy="666750"/>
    <xdr:pic>
      <xdr:nvPicPr>
        <xdr:cNvPr id="8" name="Picture 1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28575"/>
          <a:ext cx="30480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247650</xdr:colOff>
      <xdr:row>0</xdr:row>
      <xdr:rowOff>28575</xdr:rowOff>
    </xdr:from>
    <xdr:ext cx="3048000" cy="666750"/>
    <xdr:pic>
      <xdr:nvPicPr>
        <xdr:cNvPr id="9" name="Picture 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28575"/>
          <a:ext cx="30480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247650</xdr:colOff>
      <xdr:row>0</xdr:row>
      <xdr:rowOff>28575</xdr:rowOff>
    </xdr:from>
    <xdr:ext cx="3048000" cy="666750"/>
    <xdr:pic>
      <xdr:nvPicPr>
        <xdr:cNvPr id="10" name="Picture 1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28575"/>
          <a:ext cx="30480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247650</xdr:colOff>
      <xdr:row>0</xdr:row>
      <xdr:rowOff>28575</xdr:rowOff>
    </xdr:from>
    <xdr:ext cx="3048000" cy="666750"/>
    <xdr:pic>
      <xdr:nvPicPr>
        <xdr:cNvPr id="11" name="Picture 1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28575"/>
          <a:ext cx="30480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247650</xdr:colOff>
      <xdr:row>0</xdr:row>
      <xdr:rowOff>28575</xdr:rowOff>
    </xdr:from>
    <xdr:ext cx="3048000" cy="666750"/>
    <xdr:pic>
      <xdr:nvPicPr>
        <xdr:cNvPr id="12" name="Picture 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28575"/>
          <a:ext cx="30480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247650</xdr:colOff>
      <xdr:row>0</xdr:row>
      <xdr:rowOff>28575</xdr:rowOff>
    </xdr:from>
    <xdr:ext cx="3048000" cy="666750"/>
    <xdr:pic>
      <xdr:nvPicPr>
        <xdr:cNvPr id="13" name="Picture 1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28575"/>
          <a:ext cx="30480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247650</xdr:colOff>
      <xdr:row>0</xdr:row>
      <xdr:rowOff>28575</xdr:rowOff>
    </xdr:from>
    <xdr:ext cx="3048000" cy="647700"/>
    <xdr:pic>
      <xdr:nvPicPr>
        <xdr:cNvPr id="14" name="Picture 1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28575"/>
          <a:ext cx="3048000" cy="64770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tabSelected="1" topLeftCell="A13" workbookViewId="0">
      <selection activeCell="A25" sqref="A25"/>
    </sheetView>
  </sheetViews>
  <sheetFormatPr baseColWidth="10" defaultColWidth="11.44140625" defaultRowHeight="14.4" x14ac:dyDescent="0.3"/>
  <cols>
    <col min="1" max="1" width="26" style="4" customWidth="1"/>
    <col min="2" max="2" width="18.33203125" style="4" customWidth="1"/>
    <col min="3" max="3" width="10.109375" style="4" customWidth="1"/>
    <col min="4" max="4" width="6.109375" style="4" customWidth="1"/>
    <col min="5" max="5" width="6.33203125" style="4" customWidth="1"/>
    <col min="6" max="6" width="8.6640625" style="4" customWidth="1"/>
    <col min="7" max="7" width="9.109375" style="4" customWidth="1"/>
    <col min="8" max="8" width="11.5546875" style="4" customWidth="1"/>
    <col min="9" max="16384" width="11.44140625" style="4"/>
  </cols>
  <sheetData>
    <row r="1" spans="1:8" ht="24.6" x14ac:dyDescent="0.4">
      <c r="A1" s="1" t="s">
        <v>0</v>
      </c>
      <c r="B1" s="1"/>
      <c r="C1" s="1"/>
      <c r="D1" s="1"/>
      <c r="E1" s="1"/>
      <c r="F1" s="2"/>
      <c r="G1" s="3"/>
      <c r="H1" s="3"/>
    </row>
    <row r="2" spans="1:8" ht="25.2" thickBot="1" x14ac:dyDescent="0.45">
      <c r="A2" s="5"/>
      <c r="B2" s="5"/>
      <c r="C2" s="5"/>
      <c r="D2" s="5"/>
      <c r="E2" s="5"/>
      <c r="F2" s="6"/>
      <c r="G2" s="7"/>
      <c r="H2" s="7"/>
    </row>
    <row r="3" spans="1:8" x14ac:dyDescent="0.3">
      <c r="A3" s="8" t="s">
        <v>1</v>
      </c>
      <c r="B3" s="8"/>
      <c r="C3" s="8"/>
      <c r="D3" s="8"/>
      <c r="E3" s="3"/>
      <c r="F3" s="3"/>
      <c r="G3" s="3"/>
      <c r="H3" s="3"/>
    </row>
    <row r="4" spans="1:8" x14ac:dyDescent="0.3">
      <c r="A4" s="9" t="s">
        <v>2</v>
      </c>
      <c r="B4" s="9"/>
      <c r="C4" s="9"/>
      <c r="D4" s="9"/>
      <c r="E4" s="10"/>
      <c r="F4" s="10"/>
      <c r="G4" s="3"/>
      <c r="H4" s="3"/>
    </row>
    <row r="5" spans="1:8" x14ac:dyDescent="0.3">
      <c r="A5" s="11" t="s">
        <v>3</v>
      </c>
      <c r="B5" s="11"/>
      <c r="C5" s="12"/>
      <c r="D5" s="12"/>
      <c r="E5" s="10" t="s">
        <v>28</v>
      </c>
      <c r="F5" s="10"/>
      <c r="G5" s="3"/>
      <c r="H5" s="3"/>
    </row>
    <row r="6" spans="1:8" ht="8.25" customHeight="1" x14ac:dyDescent="0.3">
      <c r="A6" s="9"/>
      <c r="B6" s="9"/>
      <c r="C6" s="12"/>
      <c r="D6" s="12"/>
      <c r="E6" s="3"/>
      <c r="F6" s="3"/>
      <c r="G6" s="3"/>
      <c r="H6" s="3"/>
    </row>
    <row r="7" spans="1:8" ht="3.75" customHeight="1" thickBot="1" x14ac:dyDescent="0.35">
      <c r="A7" s="9"/>
      <c r="B7" s="9"/>
      <c r="C7" s="9"/>
      <c r="D7" s="12"/>
      <c r="E7" s="3"/>
      <c r="F7" s="3"/>
      <c r="G7" s="3"/>
      <c r="H7" s="3"/>
    </row>
    <row r="8" spans="1:8" ht="25.5" customHeight="1" thickBot="1" x14ac:dyDescent="0.35">
      <c r="A8" s="13" t="s">
        <v>4</v>
      </c>
      <c r="B8" s="14" t="s">
        <v>5</v>
      </c>
      <c r="C8" s="3"/>
      <c r="D8" s="3"/>
      <c r="E8" s="15" t="s">
        <v>6</v>
      </c>
      <c r="F8" s="16"/>
      <c r="G8" s="16"/>
      <c r="H8" s="17"/>
    </row>
    <row r="9" spans="1:8" ht="20.25" customHeight="1" x14ac:dyDescent="0.3">
      <c r="A9" s="45" t="s">
        <v>7</v>
      </c>
      <c r="B9" s="46"/>
      <c r="C9" s="3"/>
      <c r="D9" s="3"/>
      <c r="E9" s="49" t="s">
        <v>8</v>
      </c>
      <c r="F9" s="50"/>
      <c r="G9" s="50"/>
      <c r="H9" s="51"/>
    </row>
    <row r="10" spans="1:8" ht="30" customHeight="1" thickBot="1" x14ac:dyDescent="0.35">
      <c r="A10" s="47"/>
      <c r="B10" s="48"/>
      <c r="C10" s="3"/>
      <c r="D10" s="3"/>
      <c r="E10" s="52"/>
      <c r="F10" s="53"/>
      <c r="G10" s="53"/>
      <c r="H10" s="54"/>
    </row>
    <row r="11" spans="1:8" ht="30" customHeight="1" x14ac:dyDescent="0.3">
      <c r="A11" s="18"/>
      <c r="B11" s="18"/>
      <c r="C11" s="3"/>
      <c r="D11" s="3"/>
      <c r="E11" s="19"/>
      <c r="F11" s="19"/>
      <c r="G11" s="19"/>
      <c r="H11" s="19"/>
    </row>
    <row r="12" spans="1:8" ht="30" customHeight="1" x14ac:dyDescent="0.3">
      <c r="A12" s="18"/>
      <c r="B12" s="18"/>
      <c r="C12" s="3"/>
      <c r="D12" s="3"/>
      <c r="E12" s="19"/>
      <c r="F12" s="19"/>
      <c r="G12" s="19"/>
      <c r="H12" s="19"/>
    </row>
    <row r="13" spans="1:8" ht="18" customHeight="1" x14ac:dyDescent="0.3">
      <c r="A13" s="20" t="s">
        <v>29</v>
      </c>
      <c r="B13" s="20"/>
      <c r="C13" s="20"/>
      <c r="D13" s="20"/>
      <c r="E13" s="20"/>
      <c r="F13" s="20"/>
      <c r="G13" s="20"/>
      <c r="H13" s="20"/>
    </row>
    <row r="14" spans="1:8" ht="12" customHeight="1" x14ac:dyDescent="0.3">
      <c r="A14" s="21"/>
      <c r="B14" s="21"/>
      <c r="C14" s="21"/>
      <c r="D14" s="21"/>
      <c r="E14" s="21"/>
      <c r="F14" s="21"/>
      <c r="G14" s="21"/>
      <c r="H14" s="21"/>
    </row>
    <row r="15" spans="1:8" x14ac:dyDescent="0.3">
      <c r="A15" s="22" t="s">
        <v>9</v>
      </c>
      <c r="B15" s="22" t="s">
        <v>10</v>
      </c>
      <c r="C15" s="22" t="s">
        <v>11</v>
      </c>
      <c r="D15" s="23" t="s">
        <v>12</v>
      </c>
      <c r="E15" s="24"/>
      <c r="F15" s="23" t="s">
        <v>13</v>
      </c>
      <c r="G15" s="25"/>
      <c r="H15" s="24"/>
    </row>
    <row r="16" spans="1:8" ht="27.75" customHeight="1" x14ac:dyDescent="0.3">
      <c r="A16" s="26" t="s">
        <v>34</v>
      </c>
      <c r="B16" s="27" t="s">
        <v>30</v>
      </c>
      <c r="C16" s="28">
        <v>4200</v>
      </c>
      <c r="D16" s="55">
        <v>6.2</v>
      </c>
      <c r="E16" s="55"/>
      <c r="F16" s="55">
        <f>C16*D16</f>
        <v>26040</v>
      </c>
      <c r="G16" s="55"/>
      <c r="H16" s="55"/>
    </row>
    <row r="17" spans="1:14" x14ac:dyDescent="0.3">
      <c r="A17" s="29" t="s">
        <v>14</v>
      </c>
      <c r="B17" s="30"/>
      <c r="C17" s="30"/>
      <c r="D17" s="30"/>
      <c r="E17" s="31"/>
      <c r="F17" s="57">
        <v>36541.4</v>
      </c>
      <c r="G17" s="58"/>
      <c r="H17" s="59"/>
    </row>
    <row r="18" spans="1:14" x14ac:dyDescent="0.3">
      <c r="A18" s="29" t="s">
        <v>15</v>
      </c>
      <c r="B18" s="30"/>
      <c r="C18" s="30"/>
      <c r="D18" s="30"/>
      <c r="E18" s="31"/>
      <c r="F18" s="57">
        <f>SUM(F16:H16)</f>
        <v>26040</v>
      </c>
      <c r="G18" s="58"/>
      <c r="H18" s="59"/>
    </row>
    <row r="19" spans="1:14" ht="15" customHeight="1" x14ac:dyDescent="0.3">
      <c r="A19" s="32"/>
      <c r="B19" s="32"/>
      <c r="C19" s="32"/>
      <c r="D19" s="10"/>
      <c r="E19" s="32"/>
      <c r="F19" s="33"/>
      <c r="G19" s="33"/>
      <c r="H19" s="33"/>
    </row>
    <row r="20" spans="1:14" ht="15" customHeight="1" x14ac:dyDescent="0.3">
      <c r="A20" s="29" t="s">
        <v>16</v>
      </c>
      <c r="B20" s="31"/>
      <c r="C20" s="60">
        <v>72</v>
      </c>
      <c r="D20" s="60"/>
      <c r="E20" s="60"/>
      <c r="F20" s="60"/>
      <c r="G20" s="60"/>
      <c r="H20" s="60"/>
    </row>
    <row r="21" spans="1:14" ht="15" customHeight="1" x14ac:dyDescent="0.3">
      <c r="A21" s="29" t="s">
        <v>17</v>
      </c>
      <c r="B21" s="31"/>
      <c r="C21" s="61">
        <f>C20*9</f>
        <v>648</v>
      </c>
      <c r="D21" s="61"/>
      <c r="E21" s="61"/>
      <c r="F21" s="61"/>
      <c r="G21" s="61"/>
      <c r="H21" s="61"/>
    </row>
    <row r="22" spans="1:14" x14ac:dyDescent="0.3">
      <c r="A22" s="34" t="s">
        <v>18</v>
      </c>
      <c r="B22" s="34"/>
      <c r="C22" s="60">
        <f>C20*10</f>
        <v>720</v>
      </c>
      <c r="D22" s="60"/>
      <c r="E22" s="60"/>
      <c r="F22" s="60"/>
      <c r="G22" s="60"/>
      <c r="H22" s="60"/>
    </row>
    <row r="23" spans="1:14" ht="16.2" x14ac:dyDescent="0.3">
      <c r="A23" s="34" t="s">
        <v>19</v>
      </c>
      <c r="B23" s="34"/>
      <c r="C23" s="62">
        <f>C20*0.92</f>
        <v>66.240000000000009</v>
      </c>
      <c r="D23" s="62"/>
      <c r="E23" s="62"/>
      <c r="F23" s="62"/>
      <c r="G23" s="62"/>
      <c r="H23" s="62"/>
    </row>
    <row r="24" spans="1:14" ht="19.5" customHeight="1" x14ac:dyDescent="0.3">
      <c r="A24" s="32"/>
      <c r="B24" s="32"/>
      <c r="C24" s="35"/>
      <c r="D24" s="35"/>
      <c r="E24" s="35"/>
      <c r="F24" s="35"/>
      <c r="G24" s="36"/>
      <c r="H24" s="35"/>
      <c r="I24" s="10"/>
      <c r="J24" s="10"/>
      <c r="K24" s="10"/>
      <c r="L24" s="10"/>
      <c r="M24" s="10"/>
      <c r="N24" s="10"/>
    </row>
    <row r="25" spans="1:14" ht="20.25" customHeight="1" x14ac:dyDescent="0.3">
      <c r="A25" s="37" t="s">
        <v>20</v>
      </c>
      <c r="B25" s="63" t="s">
        <v>21</v>
      </c>
      <c r="C25" s="64"/>
      <c r="D25" s="64"/>
      <c r="E25" s="64"/>
      <c r="F25" s="64"/>
      <c r="G25" s="64"/>
      <c r="H25" s="65"/>
    </row>
    <row r="26" spans="1:14" ht="21.75" customHeight="1" x14ac:dyDescent="0.3">
      <c r="A26" s="38"/>
      <c r="B26" s="39" t="s">
        <v>32</v>
      </c>
      <c r="C26" s="39"/>
      <c r="D26" s="39"/>
      <c r="E26" s="39"/>
      <c r="F26" s="39"/>
      <c r="G26" s="39"/>
      <c r="H26" s="39"/>
    </row>
    <row r="27" spans="1:14" ht="24" customHeight="1" x14ac:dyDescent="0.3">
      <c r="A27" s="40"/>
      <c r="B27" s="63" t="s">
        <v>33</v>
      </c>
      <c r="C27" s="64"/>
      <c r="D27" s="64"/>
      <c r="E27" s="64"/>
      <c r="F27" s="64"/>
      <c r="G27" s="64"/>
      <c r="H27" s="65"/>
    </row>
    <row r="28" spans="1:14" ht="13.5" customHeight="1" x14ac:dyDescent="0.3">
      <c r="A28" s="41" t="s">
        <v>22</v>
      </c>
      <c r="B28" s="66" t="s">
        <v>23</v>
      </c>
      <c r="C28" s="67"/>
      <c r="D28" s="67"/>
      <c r="E28" s="67"/>
      <c r="F28" s="67"/>
      <c r="G28" s="67"/>
      <c r="H28" s="68"/>
    </row>
    <row r="29" spans="1:14" ht="8.25" hidden="1" customHeight="1" x14ac:dyDescent="0.3">
      <c r="A29" s="42"/>
      <c r="B29" s="42"/>
      <c r="C29" s="42"/>
      <c r="D29" s="42"/>
      <c r="E29" s="42"/>
      <c r="F29" s="42"/>
      <c r="G29" s="42"/>
      <c r="H29" s="42"/>
    </row>
    <row r="30" spans="1:14" ht="14.25" customHeight="1" x14ac:dyDescent="0.4">
      <c r="A30" s="43"/>
      <c r="B30" s="44"/>
      <c r="C30" s="44"/>
      <c r="D30" s="44"/>
      <c r="E30" s="44"/>
      <c r="F30" s="44"/>
      <c r="G30" s="44"/>
      <c r="H30" s="44"/>
    </row>
    <row r="31" spans="1:14" ht="33.75" customHeight="1" x14ac:dyDescent="0.3">
      <c r="A31" s="69" t="s">
        <v>31</v>
      </c>
      <c r="B31" s="70"/>
      <c r="C31" s="70"/>
      <c r="D31" s="70"/>
      <c r="E31" s="70"/>
      <c r="F31" s="70"/>
      <c r="G31" s="70"/>
      <c r="H31" s="71"/>
    </row>
    <row r="32" spans="1:14" ht="21" x14ac:dyDescent="0.4">
      <c r="A32" s="72" t="s">
        <v>35</v>
      </c>
      <c r="B32" s="72"/>
      <c r="C32" s="72"/>
      <c r="D32" s="72"/>
      <c r="E32" s="72"/>
      <c r="F32" s="72"/>
      <c r="G32" s="72"/>
      <c r="H32" s="72"/>
    </row>
    <row r="33" spans="1:8" x14ac:dyDescent="0.3">
      <c r="A33" s="3"/>
      <c r="B33" s="3"/>
      <c r="C33" s="3"/>
      <c r="D33" s="3"/>
      <c r="E33" s="10" t="s">
        <v>24</v>
      </c>
      <c r="F33" s="3"/>
      <c r="G33" s="3"/>
      <c r="H33" s="3" t="s">
        <v>25</v>
      </c>
    </row>
    <row r="34" spans="1:8" x14ac:dyDescent="0.3">
      <c r="A34" s="3"/>
      <c r="B34" s="3"/>
      <c r="C34" s="3" t="s">
        <v>26</v>
      </c>
      <c r="D34" s="3"/>
      <c r="E34" s="10"/>
      <c r="F34" s="3"/>
      <c r="G34" s="3"/>
      <c r="H34" s="3"/>
    </row>
    <row r="35" spans="1:8" x14ac:dyDescent="0.3">
      <c r="A35" s="3"/>
      <c r="B35" s="3"/>
      <c r="C35" s="3"/>
      <c r="D35" s="3"/>
      <c r="E35" s="10"/>
      <c r="F35" s="3"/>
      <c r="G35" s="3"/>
      <c r="H35" s="3"/>
    </row>
    <row r="37" spans="1:8" ht="15" x14ac:dyDescent="0.3">
      <c r="A37" s="56" t="s">
        <v>27</v>
      </c>
      <c r="B37" s="56"/>
      <c r="C37" s="56"/>
      <c r="D37" s="56"/>
      <c r="E37" s="56"/>
      <c r="F37" s="56"/>
      <c r="G37" s="56"/>
      <c r="H37" s="56"/>
    </row>
  </sheetData>
  <mergeCells count="16">
    <mergeCell ref="A9:B10"/>
    <mergeCell ref="E9:H10"/>
    <mergeCell ref="D16:E16"/>
    <mergeCell ref="F16:H16"/>
    <mergeCell ref="A37:H37"/>
    <mergeCell ref="F17:H17"/>
    <mergeCell ref="F18:H18"/>
    <mergeCell ref="C20:H20"/>
    <mergeCell ref="C21:H21"/>
    <mergeCell ref="C22:H22"/>
    <mergeCell ref="C23:H23"/>
    <mergeCell ref="B25:H25"/>
    <mergeCell ref="B27:H27"/>
    <mergeCell ref="B28:H28"/>
    <mergeCell ref="A31:H31"/>
    <mergeCell ref="A32:H32"/>
  </mergeCells>
  <pageMargins left="0" right="0" top="0" bottom="0" header="0" footer="0"/>
  <pageSetup paperSize="9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3257</vt:lpstr>
      <vt:lpstr>'3257'!Zone_d_impression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ASUS</cp:lastModifiedBy>
  <dcterms:created xsi:type="dcterms:W3CDTF">2026-03-26T08:50:52Z</dcterms:created>
  <dcterms:modified xsi:type="dcterms:W3CDTF">2026-07-16T09:48:08Z</dcterms:modified>
</cp:coreProperties>
</file>