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RAP DE COUPE\VJAMES + PJAMES\"/>
    </mc:Choice>
  </mc:AlternateContent>
  <bookViews>
    <workbookView xWindow="0" yWindow="0" windowWidth="28800" windowHeight="12435"/>
  </bookViews>
  <sheets>
    <sheet name="PJAMES-NOIR" sheetId="24" r:id="rId1"/>
    <sheet name="VJAMES-NOIR" sheetId="2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28" l="1"/>
  <c r="L15" i="28"/>
  <c r="L14" i="28"/>
  <c r="D9" i="28" s="1"/>
  <c r="F9" i="28" s="1"/>
  <c r="L13" i="28"/>
  <c r="I9" i="28"/>
  <c r="I8" i="24"/>
  <c r="L9" i="28" l="1"/>
  <c r="D7" i="28"/>
  <c r="F7" i="28" s="1"/>
  <c r="I9" i="24"/>
  <c r="I7" i="24" l="1"/>
  <c r="L16" i="24" l="1"/>
  <c r="L15" i="24"/>
  <c r="L14" i="24"/>
  <c r="L13" i="24"/>
  <c r="D9" i="24" l="1"/>
  <c r="F9" i="24" s="1"/>
  <c r="L9" i="24" s="1"/>
  <c r="D8" i="24"/>
  <c r="F8" i="24" s="1"/>
  <c r="L8" i="24" s="1"/>
  <c r="D7" i="24"/>
  <c r="F7" i="24" s="1"/>
  <c r="L7" i="24" l="1"/>
  <c r="C7" i="28" s="1"/>
  <c r="I7" i="28" l="1"/>
  <c r="L7" i="28" s="1"/>
</calcChain>
</file>

<file path=xl/sharedStrings.xml><?xml version="1.0" encoding="utf-8"?>
<sst xmlns="http://schemas.openxmlformats.org/spreadsheetml/2006/main" count="47" uniqueCount="25">
  <si>
    <t xml:space="preserve">     RAPPORT DE COUPE</t>
  </si>
  <si>
    <t>MODELE :</t>
  </si>
  <si>
    <t>QUANTITE</t>
  </si>
  <si>
    <t>N°DE COMMANDE</t>
  </si>
  <si>
    <t xml:space="preserve">TISSU </t>
  </si>
  <si>
    <t>LAIZE</t>
  </si>
  <si>
    <t>METRAGE ANNONCE</t>
  </si>
  <si>
    <t>QTES COUPEES</t>
  </si>
  <si>
    <t>CONSO REELLE</t>
  </si>
  <si>
    <t xml:space="preserve">METRAGE REELLE </t>
  </si>
  <si>
    <t>MANQUE TISSU</t>
  </si>
  <si>
    <t>DEFAUT TISSU</t>
  </si>
  <si>
    <t xml:space="preserve">RETRAIT </t>
  </si>
  <si>
    <t>STOCK</t>
  </si>
  <si>
    <t>TOTAL</t>
  </si>
  <si>
    <t>QUANTITE COMMANDE</t>
  </si>
  <si>
    <t>QUANTITE COUPEE</t>
  </si>
  <si>
    <t>TDS</t>
  </si>
  <si>
    <t>QUANTITE LIVREE</t>
  </si>
  <si>
    <t>TISSU</t>
  </si>
  <si>
    <t>PJAMES-NOIR</t>
  </si>
  <si>
    <t>THERMO</t>
  </si>
  <si>
    <t>DOUBL</t>
  </si>
  <si>
    <t>VJAMES-NOIR</t>
  </si>
  <si>
    <t>QUANTITE LIVREE 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</si>
</sst>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u/>
      <sz val="28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0" fillId="0" borderId="0" xfId="0" applyNumberFormat="1" applyBorder="1"/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/>
    <xf numFmtId="2" fontId="8" fillId="3" borderId="15" xfId="0" applyNumberFormat="1" applyFont="1" applyFill="1" applyBorder="1" applyAlignment="1">
      <alignment horizontal="center" vertical="center"/>
    </xf>
    <xf numFmtId="2" fontId="0" fillId="6" borderId="13" xfId="0" applyNumberFormat="1" applyFont="1" applyFill="1" applyBorder="1" applyAlignment="1">
      <alignment horizontal="center" vertical="center"/>
    </xf>
    <xf numFmtId="2" fontId="0" fillId="6" borderId="5" xfId="0" applyNumberFormat="1" applyFont="1" applyFill="1" applyBorder="1" applyAlignment="1">
      <alignment horizontal="center" vertical="center"/>
    </xf>
    <xf numFmtId="0" fontId="13" fillId="0" borderId="0" xfId="0" applyNumberFormat="1" applyFont="1" applyFill="1"/>
    <xf numFmtId="2" fontId="8" fillId="3" borderId="6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26" xfId="0" applyNumberFormat="1" applyBorder="1"/>
    <xf numFmtId="0" fontId="0" fillId="0" borderId="19" xfId="0" applyNumberFormat="1" applyBorder="1"/>
    <xf numFmtId="0" fontId="4" fillId="2" borderId="0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E24" sqref="E24"/>
    </sheetView>
  </sheetViews>
  <sheetFormatPr baseColWidth="10" defaultRowHeight="15" x14ac:dyDescent="0.25"/>
  <cols>
    <col min="1" max="1" width="20.85546875" customWidth="1"/>
    <col min="2" max="4" width="10.42578125" customWidth="1"/>
    <col min="5" max="6" width="10.28515625" customWidth="1"/>
    <col min="7" max="7" width="12.28515625" customWidth="1"/>
    <col min="8" max="8" width="9.85546875" customWidth="1"/>
    <col min="9" max="10" width="9.28515625" customWidth="1"/>
    <col min="11" max="11" width="9.7109375" customWidth="1"/>
    <col min="12" max="12" width="12.140625" customWidth="1"/>
  </cols>
  <sheetData>
    <row r="1" spans="1:14" ht="36" x14ac:dyDescent="0.55000000000000004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</row>
    <row r="3" spans="1:14" ht="15.75" x14ac:dyDescent="0.25">
      <c r="A3" s="9" t="s">
        <v>1</v>
      </c>
      <c r="B3" s="56" t="s">
        <v>20</v>
      </c>
      <c r="C3" s="56"/>
      <c r="D3" s="56"/>
      <c r="E3" s="10"/>
      <c r="F3" s="10"/>
      <c r="G3" s="11" t="s">
        <v>2</v>
      </c>
      <c r="H3" s="56">
        <v>1104</v>
      </c>
      <c r="I3" s="56"/>
      <c r="J3" s="56"/>
      <c r="K3" s="56"/>
      <c r="L3" s="56"/>
    </row>
    <row r="4" spans="1:14" ht="15.75" x14ac:dyDescent="0.25">
      <c r="A4" s="11" t="s">
        <v>3</v>
      </c>
      <c r="B4" s="57"/>
      <c r="C4" s="57"/>
      <c r="D4" s="57"/>
      <c r="E4" s="10"/>
      <c r="F4" s="10"/>
      <c r="G4" s="9"/>
      <c r="H4" s="58">
        <v>46157</v>
      </c>
      <c r="I4" s="58"/>
      <c r="J4" s="58"/>
      <c r="K4" s="58"/>
      <c r="L4" s="58"/>
    </row>
    <row r="5" spans="1:14" ht="15.75" thickBot="1" x14ac:dyDescent="0.3"/>
    <row r="6" spans="1:14" ht="30" customHeight="1" x14ac:dyDescent="0.25">
      <c r="A6" s="16" t="s">
        <v>4</v>
      </c>
      <c r="B6" s="13" t="s">
        <v>5</v>
      </c>
      <c r="C6" s="17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9"/>
      <c r="K6" s="19"/>
      <c r="L6" s="18" t="s">
        <v>13</v>
      </c>
    </row>
    <row r="7" spans="1:14" ht="15.75" x14ac:dyDescent="0.25">
      <c r="A7" s="23" t="s">
        <v>19</v>
      </c>
      <c r="B7" s="32">
        <v>1.55</v>
      </c>
      <c r="C7" s="24">
        <v>2566</v>
      </c>
      <c r="D7" s="29">
        <f>+L14</f>
        <v>1147</v>
      </c>
      <c r="E7" s="46">
        <v>1.4</v>
      </c>
      <c r="F7" s="29">
        <f>D7*E7</f>
        <v>1605.8</v>
      </c>
      <c r="G7" s="30">
        <v>0</v>
      </c>
      <c r="H7" s="31">
        <v>11</v>
      </c>
      <c r="I7" s="25">
        <f>C7*0%</f>
        <v>0</v>
      </c>
      <c r="J7" s="26"/>
      <c r="K7" s="26"/>
      <c r="L7" s="45">
        <f>C7-(F7+I7+G7+H7)</f>
        <v>949.2</v>
      </c>
      <c r="N7" s="51"/>
    </row>
    <row r="8" spans="1:14" ht="15.75" x14ac:dyDescent="0.25">
      <c r="A8" s="23" t="s">
        <v>22</v>
      </c>
      <c r="B8" s="32">
        <v>1.37</v>
      </c>
      <c r="C8" s="24">
        <v>150</v>
      </c>
      <c r="D8" s="29">
        <f>+L14</f>
        <v>1147</v>
      </c>
      <c r="E8" s="46">
        <v>0.12</v>
      </c>
      <c r="F8" s="29">
        <f>D8*E8</f>
        <v>137.63999999999999</v>
      </c>
      <c r="G8" s="30">
        <v>0</v>
      </c>
      <c r="H8" s="31">
        <v>0</v>
      </c>
      <c r="I8" s="25">
        <f>C8*0%</f>
        <v>0</v>
      </c>
      <c r="J8" s="26"/>
      <c r="K8" s="26"/>
      <c r="L8" s="45">
        <f>C8-(F8+I8+G8+H8)</f>
        <v>12.360000000000014</v>
      </c>
      <c r="N8" s="51"/>
    </row>
    <row r="9" spans="1:14" ht="16.5" thickBot="1" x14ac:dyDescent="0.3">
      <c r="A9" s="12" t="s">
        <v>21</v>
      </c>
      <c r="B9" s="33">
        <v>1.48</v>
      </c>
      <c r="C9" s="8">
        <v>276</v>
      </c>
      <c r="D9" s="34">
        <f>+L14</f>
        <v>1147</v>
      </c>
      <c r="E9" s="47">
        <v>0.24</v>
      </c>
      <c r="F9" s="34">
        <f>D9*E9</f>
        <v>275.27999999999997</v>
      </c>
      <c r="G9" s="35">
        <v>0</v>
      </c>
      <c r="H9" s="36">
        <v>0</v>
      </c>
      <c r="I9" s="37">
        <f>C9*0%</f>
        <v>0</v>
      </c>
      <c r="J9" s="38"/>
      <c r="K9" s="38"/>
      <c r="L9" s="49">
        <f>C9-(F9+I9+G9+H9)</f>
        <v>0.72000000000002728</v>
      </c>
    </row>
    <row r="10" spans="1:14" ht="15.75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14" ht="15.75" thickBot="1" x14ac:dyDescent="0.3">
      <c r="A11" s="59"/>
      <c r="B11" s="59"/>
      <c r="C11" s="59"/>
      <c r="D11" s="59"/>
      <c r="E11" s="59"/>
      <c r="F11" s="59"/>
      <c r="G11" s="59"/>
      <c r="H11" s="3"/>
      <c r="I11" s="3"/>
      <c r="J11" s="3"/>
      <c r="K11" s="3"/>
      <c r="L11" s="3"/>
    </row>
    <row r="12" spans="1:14" ht="16.5" thickBot="1" x14ac:dyDescent="0.3">
      <c r="A12" s="6"/>
      <c r="B12" s="6"/>
      <c r="C12" s="20">
        <v>34</v>
      </c>
      <c r="D12" s="21">
        <v>36</v>
      </c>
      <c r="E12" s="21">
        <v>38</v>
      </c>
      <c r="F12" s="21">
        <v>40</v>
      </c>
      <c r="G12" s="21">
        <v>42</v>
      </c>
      <c r="H12" s="21">
        <v>44</v>
      </c>
      <c r="I12" s="21"/>
      <c r="J12" s="21"/>
      <c r="K12" s="21"/>
      <c r="L12" s="14" t="s">
        <v>14</v>
      </c>
    </row>
    <row r="13" spans="1:14" ht="16.5" thickBot="1" x14ac:dyDescent="0.3">
      <c r="A13" s="60" t="s">
        <v>15</v>
      </c>
      <c r="B13" s="61"/>
      <c r="C13" s="4">
        <v>95</v>
      </c>
      <c r="D13" s="4">
        <v>207</v>
      </c>
      <c r="E13" s="4">
        <v>251</v>
      </c>
      <c r="F13" s="4">
        <v>229</v>
      </c>
      <c r="G13" s="4">
        <v>197</v>
      </c>
      <c r="H13" s="4">
        <v>125</v>
      </c>
      <c r="I13" s="4"/>
      <c r="J13" s="4"/>
      <c r="K13" s="4"/>
      <c r="L13" s="15">
        <f>SUM(C13:K13)</f>
        <v>1104</v>
      </c>
    </row>
    <row r="14" spans="1:14" ht="15.75" thickBot="1" x14ac:dyDescent="0.3">
      <c r="A14" s="64" t="s">
        <v>16</v>
      </c>
      <c r="B14" s="65"/>
      <c r="C14" s="39">
        <v>95</v>
      </c>
      <c r="D14" s="39">
        <v>210</v>
      </c>
      <c r="E14" s="39">
        <v>273</v>
      </c>
      <c r="F14" s="39">
        <v>230</v>
      </c>
      <c r="G14" s="39">
        <v>198</v>
      </c>
      <c r="H14" s="39">
        <v>141</v>
      </c>
      <c r="I14" s="5"/>
      <c r="J14" s="5"/>
      <c r="K14" s="5"/>
      <c r="L14" s="15">
        <f>K14+J14+I14+H14+G14+F14+E14+D14+C14</f>
        <v>1147</v>
      </c>
    </row>
    <row r="15" spans="1:14" ht="16.5" thickBot="1" x14ac:dyDescent="0.3">
      <c r="A15" s="66" t="s">
        <v>17</v>
      </c>
      <c r="B15" s="67"/>
      <c r="C15" s="27">
        <v>0</v>
      </c>
      <c r="D15" s="4">
        <v>2</v>
      </c>
      <c r="E15" s="4">
        <v>3</v>
      </c>
      <c r="F15" s="4">
        <v>1</v>
      </c>
      <c r="G15" s="4">
        <v>1</v>
      </c>
      <c r="H15" s="4">
        <v>0</v>
      </c>
      <c r="I15" s="4"/>
      <c r="J15" s="4"/>
      <c r="K15" s="4"/>
      <c r="L15" s="7">
        <f>C15+D15+E15+F15+G15+H15+I15+J15</f>
        <v>7</v>
      </c>
    </row>
    <row r="16" spans="1:14" ht="15.75" thickBot="1" x14ac:dyDescent="0.3">
      <c r="A16" s="68" t="s">
        <v>18</v>
      </c>
      <c r="B16" s="69"/>
      <c r="C16" s="12">
        <v>93</v>
      </c>
      <c r="D16" s="8">
        <v>198</v>
      </c>
      <c r="E16" s="8">
        <v>270</v>
      </c>
      <c r="F16" s="8">
        <v>219</v>
      </c>
      <c r="G16" s="8">
        <v>194</v>
      </c>
      <c r="H16" s="8">
        <v>141</v>
      </c>
      <c r="I16" s="8"/>
      <c r="J16" s="8"/>
      <c r="K16" s="8"/>
      <c r="L16" s="28">
        <f>SUM(C16:K16)</f>
        <v>1115</v>
      </c>
    </row>
    <row r="17" spans="1:12" ht="15.75" thickBot="1" x14ac:dyDescent="0.3"/>
    <row r="18" spans="1:12" ht="15.75" thickBot="1" x14ac:dyDescent="0.3">
      <c r="A18" s="62" t="s">
        <v>24</v>
      </c>
      <c r="B18" s="63"/>
      <c r="C18" s="52">
        <v>1</v>
      </c>
      <c r="D18" s="53">
        <v>10</v>
      </c>
      <c r="E18" s="53">
        <v>0</v>
      </c>
      <c r="F18" s="53">
        <v>10</v>
      </c>
      <c r="G18" s="53">
        <v>3</v>
      </c>
      <c r="H18" s="53">
        <v>0</v>
      </c>
      <c r="I18" s="54"/>
      <c r="J18" s="54"/>
      <c r="K18" s="54"/>
      <c r="L18" s="55"/>
    </row>
    <row r="19" spans="1:12" ht="15" customHeight="1" x14ac:dyDescent="0.25">
      <c r="B19" s="40"/>
      <c r="C19" s="43"/>
      <c r="D19" s="43"/>
      <c r="E19" s="43"/>
      <c r="F19" s="43"/>
      <c r="G19" s="43"/>
      <c r="H19" s="43"/>
      <c r="I19" s="42"/>
      <c r="J19" s="42"/>
      <c r="K19" s="42"/>
      <c r="L19" s="42"/>
    </row>
    <row r="20" spans="1:12" ht="14.45" customHeight="1" x14ac:dyDescent="0.25">
      <c r="B20" s="42"/>
      <c r="C20" s="43"/>
      <c r="D20" s="43"/>
      <c r="E20" s="43"/>
      <c r="F20" s="43"/>
      <c r="G20" s="43"/>
      <c r="H20" s="43"/>
      <c r="I20" s="41"/>
      <c r="J20" s="41"/>
      <c r="K20" s="41"/>
      <c r="L20" s="41"/>
    </row>
    <row r="21" spans="1:12" x14ac:dyDescent="0.25">
      <c r="B21" s="42"/>
      <c r="C21" s="44"/>
      <c r="D21" s="44"/>
      <c r="E21" s="44"/>
      <c r="F21" s="44"/>
      <c r="G21" s="44"/>
      <c r="H21" s="44"/>
      <c r="I21" s="41"/>
      <c r="J21" s="41"/>
      <c r="K21" s="41"/>
      <c r="L21" s="41"/>
    </row>
    <row r="22" spans="1:12" ht="15.75" x14ac:dyDescent="0.25">
      <c r="B22" s="42"/>
      <c r="C22" s="44"/>
      <c r="D22" s="44"/>
      <c r="E22" s="44"/>
      <c r="F22" s="44"/>
      <c r="G22" s="48"/>
      <c r="H22" s="44"/>
      <c r="I22" s="42"/>
      <c r="J22" s="42"/>
      <c r="K22" s="42"/>
      <c r="L22" s="42"/>
    </row>
    <row r="23" spans="1:12" ht="15.75" x14ac:dyDescent="0.25">
      <c r="B23" s="42"/>
      <c r="C23" s="44"/>
      <c r="D23" s="44"/>
      <c r="E23" s="44"/>
      <c r="F23" s="44"/>
      <c r="G23" s="48"/>
      <c r="H23" s="44"/>
      <c r="I23" s="42"/>
      <c r="J23" s="42"/>
      <c r="K23" s="42"/>
      <c r="L23" s="42"/>
    </row>
    <row r="24" spans="1:12" x14ac:dyDescent="0.25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1:12" x14ac:dyDescent="0.25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</row>
    <row r="26" spans="1:12" x14ac:dyDescent="0.25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</row>
    <row r="27" spans="1:12" x14ac:dyDescent="0.25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</row>
    <row r="28" spans="1:12" x14ac:dyDescent="0.25"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</row>
    <row r="29" spans="1:12" x14ac:dyDescent="0.25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</row>
    <row r="30" spans="1:12" x14ac:dyDescent="0.25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</row>
    <row r="31" spans="1:12" x14ac:dyDescent="0.25"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</row>
    <row r="32" spans="1:12" x14ac:dyDescent="0.25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</row>
    <row r="33" spans="2:12" x14ac:dyDescent="0.25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</row>
    <row r="34" spans="2:12" x14ac:dyDescent="0.25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</row>
    <row r="35" spans="2:12" x14ac:dyDescent="0.25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</row>
  </sheetData>
  <mergeCells count="10">
    <mergeCell ref="A18:B18"/>
    <mergeCell ref="A14:B14"/>
    <mergeCell ref="A15:B15"/>
    <mergeCell ref="A16:B16"/>
    <mergeCell ref="B3:D3"/>
    <mergeCell ref="H3:L3"/>
    <mergeCell ref="B4:D4"/>
    <mergeCell ref="H4:L4"/>
    <mergeCell ref="A11:G11"/>
    <mergeCell ref="A13:B13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selection activeCell="E24" sqref="E24"/>
    </sheetView>
  </sheetViews>
  <sheetFormatPr baseColWidth="10" defaultRowHeight="15" x14ac:dyDescent="0.25"/>
  <cols>
    <col min="1" max="1" width="20.85546875" customWidth="1"/>
    <col min="2" max="4" width="10.42578125" customWidth="1"/>
    <col min="5" max="6" width="10.28515625" customWidth="1"/>
    <col min="7" max="7" width="12.28515625" customWidth="1"/>
    <col min="8" max="8" width="9.85546875" customWidth="1"/>
    <col min="9" max="10" width="9.28515625" customWidth="1"/>
    <col min="11" max="11" width="9.7109375" customWidth="1"/>
    <col min="12" max="12" width="12.140625" customWidth="1"/>
  </cols>
  <sheetData>
    <row r="1" spans="1:14" ht="36" x14ac:dyDescent="0.55000000000000004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</row>
    <row r="3" spans="1:14" ht="15.75" x14ac:dyDescent="0.25">
      <c r="A3" s="9" t="s">
        <v>1</v>
      </c>
      <c r="B3" s="56" t="s">
        <v>23</v>
      </c>
      <c r="C3" s="56"/>
      <c r="D3" s="56"/>
      <c r="E3" s="10"/>
      <c r="F3" s="10"/>
      <c r="G3" s="11" t="s">
        <v>2</v>
      </c>
      <c r="H3" s="56">
        <v>629</v>
      </c>
      <c r="I3" s="56"/>
      <c r="J3" s="56"/>
      <c r="K3" s="56"/>
      <c r="L3" s="56"/>
    </row>
    <row r="4" spans="1:14" ht="15.75" x14ac:dyDescent="0.25">
      <c r="A4" s="11" t="s">
        <v>3</v>
      </c>
      <c r="B4" s="57"/>
      <c r="C4" s="57"/>
      <c r="D4" s="57"/>
      <c r="E4" s="10"/>
      <c r="F4" s="10"/>
      <c r="G4" s="9"/>
      <c r="H4" s="58">
        <v>46157</v>
      </c>
      <c r="I4" s="58"/>
      <c r="J4" s="58"/>
      <c r="K4" s="58"/>
      <c r="L4" s="58"/>
    </row>
    <row r="5" spans="1:14" ht="15.75" thickBot="1" x14ac:dyDescent="0.3"/>
    <row r="6" spans="1:14" ht="30" customHeight="1" x14ac:dyDescent="0.25">
      <c r="A6" s="16" t="s">
        <v>4</v>
      </c>
      <c r="B6" s="13" t="s">
        <v>5</v>
      </c>
      <c r="C6" s="17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9"/>
      <c r="K6" s="19"/>
      <c r="L6" s="18" t="s">
        <v>13</v>
      </c>
    </row>
    <row r="7" spans="1:14" ht="15.75" x14ac:dyDescent="0.25">
      <c r="A7" s="23" t="s">
        <v>19</v>
      </c>
      <c r="B7" s="32">
        <v>1.55</v>
      </c>
      <c r="C7" s="50">
        <f>'PJAMES-NOIR'!L7</f>
        <v>949.2</v>
      </c>
      <c r="D7" s="29">
        <f>+L14</f>
        <v>669</v>
      </c>
      <c r="E7" s="46">
        <v>1.3</v>
      </c>
      <c r="F7" s="29">
        <f>D7*E7</f>
        <v>869.7</v>
      </c>
      <c r="G7" s="30">
        <v>0</v>
      </c>
      <c r="H7" s="31">
        <v>9.4</v>
      </c>
      <c r="I7" s="25">
        <f>C7*0%</f>
        <v>0</v>
      </c>
      <c r="J7" s="26"/>
      <c r="K7" s="26"/>
      <c r="L7" s="45">
        <f>C7-(F7+I7+G7+H7)</f>
        <v>70.100000000000023</v>
      </c>
      <c r="N7" s="51"/>
    </row>
    <row r="8" spans="1:14" ht="15.75" x14ac:dyDescent="0.25">
      <c r="A8" s="23"/>
      <c r="B8" s="32"/>
      <c r="C8" s="24"/>
      <c r="D8" s="29"/>
      <c r="E8" s="46"/>
      <c r="F8" s="29"/>
      <c r="G8" s="30"/>
      <c r="H8" s="31"/>
      <c r="I8" s="25"/>
      <c r="J8" s="26"/>
      <c r="K8" s="26"/>
      <c r="L8" s="45"/>
      <c r="N8" s="51"/>
    </row>
    <row r="9" spans="1:14" ht="16.5" thickBot="1" x14ac:dyDescent="0.3">
      <c r="A9" s="12" t="s">
        <v>21</v>
      </c>
      <c r="B9" s="33">
        <v>1.48</v>
      </c>
      <c r="C9" s="8">
        <v>148</v>
      </c>
      <c r="D9" s="34">
        <f>+L14</f>
        <v>669</v>
      </c>
      <c r="E9" s="47">
        <v>0.22</v>
      </c>
      <c r="F9" s="34">
        <f>D9*E9</f>
        <v>147.18</v>
      </c>
      <c r="G9" s="35">
        <v>0</v>
      </c>
      <c r="H9" s="36">
        <v>0</v>
      </c>
      <c r="I9" s="37">
        <f>C9*0%</f>
        <v>0</v>
      </c>
      <c r="J9" s="38"/>
      <c r="K9" s="38"/>
      <c r="L9" s="49">
        <f>C9-(F9+I9+G9+H9)</f>
        <v>0.81999999999999318</v>
      </c>
    </row>
    <row r="10" spans="1:14" ht="15.75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14" ht="15.75" thickBot="1" x14ac:dyDescent="0.3">
      <c r="A11" s="59"/>
      <c r="B11" s="59"/>
      <c r="C11" s="59"/>
      <c r="D11" s="59"/>
      <c r="E11" s="59"/>
      <c r="F11" s="59"/>
      <c r="G11" s="59"/>
      <c r="H11" s="3"/>
      <c r="I11" s="3"/>
      <c r="J11" s="3"/>
      <c r="K11" s="3"/>
      <c r="L11" s="3"/>
    </row>
    <row r="12" spans="1:14" ht="16.5" thickBot="1" x14ac:dyDescent="0.3">
      <c r="A12" s="6"/>
      <c r="B12" s="6"/>
      <c r="C12" s="20">
        <v>34</v>
      </c>
      <c r="D12" s="21">
        <v>36</v>
      </c>
      <c r="E12" s="21">
        <v>38</v>
      </c>
      <c r="F12" s="21">
        <v>40</v>
      </c>
      <c r="G12" s="21">
        <v>42</v>
      </c>
      <c r="H12" s="21">
        <v>44</v>
      </c>
      <c r="I12" s="21"/>
      <c r="J12" s="21"/>
      <c r="K12" s="21"/>
      <c r="L12" s="14" t="s">
        <v>14</v>
      </c>
    </row>
    <row r="13" spans="1:14" ht="16.5" thickBot="1" x14ac:dyDescent="0.3">
      <c r="A13" s="60" t="s">
        <v>15</v>
      </c>
      <c r="B13" s="61"/>
      <c r="C13" s="4">
        <v>40</v>
      </c>
      <c r="D13" s="4">
        <v>123</v>
      </c>
      <c r="E13" s="4">
        <v>147</v>
      </c>
      <c r="F13" s="4">
        <v>127</v>
      </c>
      <c r="G13" s="4">
        <v>127</v>
      </c>
      <c r="H13" s="4">
        <v>65</v>
      </c>
      <c r="I13" s="4"/>
      <c r="J13" s="4"/>
      <c r="K13" s="4"/>
      <c r="L13" s="15">
        <f>SUM(C13:K13)</f>
        <v>629</v>
      </c>
    </row>
    <row r="14" spans="1:14" ht="15.75" thickBot="1" x14ac:dyDescent="0.3">
      <c r="A14" s="64" t="s">
        <v>16</v>
      </c>
      <c r="B14" s="65"/>
      <c r="C14" s="39">
        <v>44</v>
      </c>
      <c r="D14" s="39">
        <v>132</v>
      </c>
      <c r="E14" s="39">
        <v>152</v>
      </c>
      <c r="F14" s="39">
        <v>137</v>
      </c>
      <c r="G14" s="39">
        <v>134</v>
      </c>
      <c r="H14" s="39">
        <v>70</v>
      </c>
      <c r="I14" s="5"/>
      <c r="J14" s="5"/>
      <c r="K14" s="5"/>
      <c r="L14" s="15">
        <f>K14+J14+I14+H14+G14+F14+E14+D14+C14</f>
        <v>669</v>
      </c>
    </row>
    <row r="15" spans="1:14" ht="16.5" thickBot="1" x14ac:dyDescent="0.3">
      <c r="A15" s="66" t="s">
        <v>17</v>
      </c>
      <c r="B15" s="67"/>
      <c r="C15" s="27">
        <v>0</v>
      </c>
      <c r="D15" s="4">
        <v>2</v>
      </c>
      <c r="E15" s="4">
        <v>3</v>
      </c>
      <c r="F15" s="4">
        <v>1</v>
      </c>
      <c r="G15" s="4">
        <v>1</v>
      </c>
      <c r="H15" s="4">
        <v>0</v>
      </c>
      <c r="I15" s="4"/>
      <c r="J15" s="4"/>
      <c r="K15" s="4"/>
      <c r="L15" s="7">
        <f>C15+D15+E15+F15+G15+H15+I15+J15</f>
        <v>7</v>
      </c>
    </row>
    <row r="16" spans="1:14" ht="15.75" thickBot="1" x14ac:dyDescent="0.3">
      <c r="A16" s="68" t="s">
        <v>18</v>
      </c>
      <c r="B16" s="69"/>
      <c r="C16" s="12">
        <v>43</v>
      </c>
      <c r="D16" s="8">
        <v>130</v>
      </c>
      <c r="E16" s="8">
        <v>136</v>
      </c>
      <c r="F16" s="8">
        <v>135</v>
      </c>
      <c r="G16" s="8">
        <v>133</v>
      </c>
      <c r="H16" s="8">
        <v>70</v>
      </c>
      <c r="I16" s="8"/>
      <c r="J16" s="8"/>
      <c r="K16" s="8"/>
      <c r="L16" s="28">
        <f>SUM(C16:K16)</f>
        <v>647</v>
      </c>
    </row>
    <row r="17" spans="1:12" ht="15.75" thickBot="1" x14ac:dyDescent="0.3"/>
    <row r="18" spans="1:12" ht="15.75" thickBot="1" x14ac:dyDescent="0.3">
      <c r="A18" s="62" t="s">
        <v>24</v>
      </c>
      <c r="B18" s="63"/>
      <c r="C18" s="52">
        <v>1</v>
      </c>
      <c r="D18" s="53">
        <v>0</v>
      </c>
      <c r="E18" s="53">
        <v>13</v>
      </c>
      <c r="F18" s="53">
        <v>1</v>
      </c>
      <c r="G18" s="53">
        <v>0</v>
      </c>
      <c r="H18" s="53">
        <v>0</v>
      </c>
      <c r="I18" s="54"/>
      <c r="J18" s="54"/>
      <c r="K18" s="54"/>
      <c r="L18" s="55"/>
    </row>
    <row r="19" spans="1:12" ht="15" customHeight="1" x14ac:dyDescent="0.25">
      <c r="B19" s="40"/>
      <c r="C19" s="41"/>
      <c r="D19" s="41"/>
      <c r="E19" s="41"/>
      <c r="F19" s="41"/>
      <c r="G19" s="41"/>
      <c r="H19" s="41"/>
      <c r="I19" s="42"/>
      <c r="J19" s="42"/>
      <c r="K19" s="42"/>
      <c r="L19" s="42"/>
    </row>
    <row r="20" spans="1:12" ht="14.45" customHeight="1" x14ac:dyDescent="0.25">
      <c r="B20" s="42"/>
      <c r="C20" s="43"/>
      <c r="D20" s="43"/>
      <c r="E20" s="43"/>
      <c r="F20" s="43"/>
      <c r="G20" s="43"/>
      <c r="H20" s="43"/>
      <c r="I20" s="41"/>
      <c r="J20" s="41"/>
      <c r="K20" s="41"/>
      <c r="L20" s="41"/>
    </row>
    <row r="21" spans="1:12" x14ac:dyDescent="0.25">
      <c r="B21" s="42"/>
      <c r="C21" s="43"/>
      <c r="D21" s="43"/>
      <c r="E21" s="43"/>
      <c r="F21" s="43"/>
      <c r="G21" s="43"/>
      <c r="H21" s="43"/>
      <c r="I21" s="41"/>
      <c r="J21" s="41"/>
      <c r="K21" s="41"/>
      <c r="L21" s="41"/>
    </row>
    <row r="22" spans="1:12" x14ac:dyDescent="0.25">
      <c r="B22" s="42"/>
      <c r="C22" s="44"/>
      <c r="D22" s="44"/>
      <c r="E22" s="44"/>
      <c r="F22" s="44"/>
      <c r="G22" s="44"/>
      <c r="H22" s="44"/>
      <c r="I22" s="42"/>
      <c r="J22" s="42"/>
      <c r="K22" s="42"/>
      <c r="L22" s="42"/>
    </row>
    <row r="23" spans="1:12" ht="15.75" x14ac:dyDescent="0.25">
      <c r="B23" s="42"/>
      <c r="C23" s="44"/>
      <c r="D23" s="44"/>
      <c r="E23" s="44"/>
      <c r="F23" s="44"/>
      <c r="G23" s="48"/>
      <c r="H23" s="44"/>
      <c r="I23" s="42"/>
      <c r="J23" s="42"/>
      <c r="K23" s="42"/>
      <c r="L23" s="42"/>
    </row>
    <row r="24" spans="1:12" x14ac:dyDescent="0.25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1:12" x14ac:dyDescent="0.25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</row>
    <row r="26" spans="1:12" x14ac:dyDescent="0.25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</row>
    <row r="27" spans="1:12" x14ac:dyDescent="0.25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</row>
    <row r="28" spans="1:12" x14ac:dyDescent="0.25"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</row>
    <row r="29" spans="1:12" x14ac:dyDescent="0.25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</row>
    <row r="30" spans="1:12" x14ac:dyDescent="0.25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</row>
    <row r="31" spans="1:12" x14ac:dyDescent="0.25"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</row>
    <row r="32" spans="1:12" x14ac:dyDescent="0.25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</row>
    <row r="33" spans="2:12" x14ac:dyDescent="0.25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</row>
    <row r="34" spans="2:12" x14ac:dyDescent="0.25"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</row>
    <row r="35" spans="2:12" x14ac:dyDescent="0.25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</row>
  </sheetData>
  <mergeCells count="10">
    <mergeCell ref="A18:B18"/>
    <mergeCell ref="A14:B14"/>
    <mergeCell ref="A15:B15"/>
    <mergeCell ref="A16:B16"/>
    <mergeCell ref="B3:D3"/>
    <mergeCell ref="H3:L3"/>
    <mergeCell ref="B4:D4"/>
    <mergeCell ref="H4:L4"/>
    <mergeCell ref="A11:G11"/>
    <mergeCell ref="A13:B13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PJAMES-NOIR</vt:lpstr>
      <vt:lpstr>VJAMES-NOIR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cp:lastPrinted>2018-12-11T11:58:09Z</cp:lastPrinted>
  <dcterms:created xsi:type="dcterms:W3CDTF">2018-12-10T16:11:13Z</dcterms:created>
  <dcterms:modified xsi:type="dcterms:W3CDTF">2026-07-17T10:47:37Z</dcterms:modified>
</cp:coreProperties>
</file>